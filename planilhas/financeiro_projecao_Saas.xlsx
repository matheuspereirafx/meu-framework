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os" sheetId="1" r:id="rId5"/>
    <sheet state="visible" name="Premissas" sheetId="2" r:id="rId6"/>
    <sheet state="visible" name="Projeção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Perante os custos que tem por ticket quanto sobra ?</t>
      </text>
    </comment>
  </commentList>
</comments>
</file>

<file path=xl/sharedStrings.xml><?xml version="1.0" encoding="utf-8"?>
<sst xmlns="http://schemas.openxmlformats.org/spreadsheetml/2006/main" count="37" uniqueCount="36">
  <si>
    <t>Custo Fixos</t>
  </si>
  <si>
    <t>Item</t>
  </si>
  <si>
    <t>Valor</t>
  </si>
  <si>
    <t>Api TMDB</t>
  </si>
  <si>
    <t>Hospedagem</t>
  </si>
  <si>
    <t xml:space="preserve">Dominio </t>
  </si>
  <si>
    <t>PREMISSAS DO NEGÓCIO</t>
  </si>
  <si>
    <t>Premissa</t>
  </si>
  <si>
    <t>Valor (editável)</t>
  </si>
  <si>
    <t>Ticket médio (R$)</t>
  </si>
  <si>
    <t>CAC — Custo por Cliente</t>
  </si>
  <si>
    <t>Churn mensal</t>
  </si>
  <si>
    <t>Custos fixos/mês (R$)</t>
  </si>
  <si>
    <t xml:space="preserve">Crescimento mensal ( organico ) </t>
  </si>
  <si>
    <t>UNIT ECONOMICS</t>
  </si>
  <si>
    <t>Métrica</t>
  </si>
  <si>
    <t>Custo Ticket</t>
  </si>
  <si>
    <t>Margem de Contribuição</t>
  </si>
  <si>
    <t>Margem %</t>
  </si>
  <si>
    <t>LTV</t>
  </si>
  <si>
    <t>LTV/CAC</t>
  </si>
  <si>
    <t>Payback CAC (meses)</t>
  </si>
  <si>
    <t>Break-even (clientes)</t>
  </si>
  <si>
    <t>CENÁRIO PESSIMISTA</t>
  </si>
  <si>
    <t>Mês</t>
  </si>
  <si>
    <t>Novos</t>
  </si>
  <si>
    <t>Churn</t>
  </si>
  <si>
    <t>Base Ativa</t>
  </si>
  <si>
    <t>Receita</t>
  </si>
  <si>
    <t>Marketing Pago</t>
  </si>
  <si>
    <t>Fixos</t>
  </si>
  <si>
    <t>Variáveis</t>
  </si>
  <si>
    <t>Total Despesas</t>
  </si>
  <si>
    <t>Resultado</t>
  </si>
  <si>
    <t>Acumulado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</si>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</sst>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R$ #,##0.00"/>
    <numFmt numFmtId="166" formatCode="0.00&quot;x&quot;"/>
    <numFmt numFmtId="167" formatCode="0.0&quot; meses&quot;"/>
  </numFmts>
  <fonts count="11">
    <font>
      <sz val="11.0"/>
      <color theme="1"/>
      <name val="Calibri"/>
      <scheme val="minor"/>
    </font>
    <font>
      <b/>
      <sz val="13.0"/>
      <color theme="1"/>
      <name val="Calibri"/>
      <scheme val="minor"/>
    </font>
    <font/>
    <font>
      <b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0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>
      <b/>
      <sz val="13.0"/>
      <color rgb="FFFFFFFF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1F2937"/>
        <bgColor rgb="FF1F2937"/>
      </patternFill>
    </fill>
    <fill>
      <patternFill patternType="solid">
        <fgColor rgb="FFF3F4F6"/>
        <bgColor rgb="FFF3F4F6"/>
      </patternFill>
    </fill>
    <fill>
      <patternFill patternType="solid">
        <fgColor rgb="FFD1FAE5"/>
        <bgColor rgb="FFD1FAE5"/>
      </patternFill>
    </fill>
    <fill>
      <patternFill patternType="solid">
        <fgColor rgb="FFB91C1C"/>
        <bgColor rgb="FFB91C1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0FDF4"/>
        <bgColor rgb="FFF0FDF4"/>
      </patternFill>
    </fill>
    <fill>
      <patternFill patternType="solid">
        <fgColor rgb="FFFEF2F2"/>
        <bgColor rgb="FFFEF2F2"/>
      </patternFill>
    </fill>
    <fill>
      <patternFill patternType="solid">
        <fgColor rgb="FFCC4125"/>
        <bgColor rgb="FFCC4125"/>
      </patternFill>
    </fill>
  </fills>
  <borders count="8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2" fontId="3" numFmtId="0" xfId="0" applyAlignment="1" applyBorder="1" applyFont="1">
      <alignment horizontal="center" readingOrder="0"/>
    </xf>
    <xf borderId="3" fillId="2" fontId="4" numFmtId="0" xfId="0" applyAlignment="1" applyBorder="1" applyFont="1">
      <alignment readingOrder="0"/>
    </xf>
    <xf borderId="3" fillId="2" fontId="4" numFmtId="164" xfId="0" applyAlignment="1" applyBorder="1" applyFont="1" applyNumberFormat="1">
      <alignment readingOrder="0"/>
    </xf>
    <xf borderId="3" fillId="2" fontId="4" numFmtId="0" xfId="0" applyBorder="1" applyFont="1"/>
    <xf borderId="3" fillId="2" fontId="4" numFmtId="164" xfId="0" applyBorder="1" applyFont="1" applyNumberFormat="1"/>
    <xf borderId="0" fillId="0" fontId="5" numFmtId="0" xfId="0" applyAlignment="1" applyFont="1">
      <alignment horizontal="center"/>
    </xf>
    <xf borderId="4" fillId="3" fontId="6" numFmtId="0" xfId="0" applyAlignment="1" applyBorder="1" applyFill="1" applyFont="1">
      <alignment horizontal="center" vertical="center"/>
    </xf>
    <xf borderId="4" fillId="4" fontId="7" numFmtId="0" xfId="0" applyBorder="1" applyFill="1" applyFont="1"/>
    <xf borderId="4" fillId="0" fontId="8" numFmtId="165" xfId="0" applyAlignment="1" applyBorder="1" applyFont="1" applyNumberFormat="1">
      <alignment horizontal="right"/>
    </xf>
    <xf borderId="4" fillId="0" fontId="8" numFmtId="165" xfId="0" applyAlignment="1" applyBorder="1" applyFont="1" applyNumberFormat="1">
      <alignment horizontal="right" readingOrder="0"/>
    </xf>
    <xf borderId="4" fillId="0" fontId="8" numFmtId="10" xfId="0" applyAlignment="1" applyBorder="1" applyFont="1" applyNumberFormat="1">
      <alignment horizontal="right" readingOrder="0"/>
    </xf>
    <xf borderId="4" fillId="4" fontId="7" numFmtId="0" xfId="0" applyAlignment="1" applyBorder="1" applyFont="1">
      <alignment readingOrder="0"/>
    </xf>
    <xf borderId="0" fillId="0" fontId="9" numFmtId="0" xfId="0" applyFont="1"/>
    <xf borderId="4" fillId="0" fontId="8" numFmtId="10" xfId="0" applyAlignment="1" applyBorder="1" applyFont="1" applyNumberFormat="1">
      <alignment horizontal="right"/>
    </xf>
    <xf borderId="4" fillId="5" fontId="8" numFmtId="166" xfId="0" applyAlignment="1" applyBorder="1" applyFill="1" applyFont="1" applyNumberFormat="1">
      <alignment horizontal="right"/>
    </xf>
    <xf borderId="4" fillId="0" fontId="8" numFmtId="167" xfId="0" applyAlignment="1" applyBorder="1" applyFont="1" applyNumberFormat="1">
      <alignment horizontal="right"/>
    </xf>
    <xf borderId="4" fillId="0" fontId="8" numFmtId="3" xfId="0" applyAlignment="1" applyBorder="1" applyFont="1" applyNumberFormat="1">
      <alignment horizontal="right"/>
    </xf>
    <xf borderId="5" fillId="6" fontId="10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4" fillId="3" fontId="6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/>
    </xf>
    <xf borderId="4" fillId="0" fontId="8" numFmtId="3" xfId="0" applyAlignment="1" applyBorder="1" applyFont="1" applyNumberFormat="1">
      <alignment horizontal="right" readingOrder="0"/>
    </xf>
    <xf borderId="4" fillId="7" fontId="8" numFmtId="165" xfId="0" applyAlignment="1" applyBorder="1" applyFill="1" applyFont="1" applyNumberFormat="1">
      <alignment horizontal="right" readingOrder="0"/>
    </xf>
    <xf borderId="4" fillId="7" fontId="8" numFmtId="165" xfId="0" applyAlignment="1" applyBorder="1" applyFont="1" applyNumberFormat="1">
      <alignment horizontal="right"/>
    </xf>
    <xf borderId="4" fillId="8" fontId="8" numFmtId="165" xfId="0" applyAlignment="1" applyBorder="1" applyFill="1" applyFont="1" applyNumberFormat="1">
      <alignment horizontal="right"/>
    </xf>
    <xf borderId="4" fillId="9" fontId="8" numFmtId="165" xfId="0" applyAlignment="1" applyBorder="1" applyFill="1" applyFont="1" applyNumberFormat="1">
      <alignment horizontal="right"/>
    </xf>
    <xf borderId="4" fillId="10" fontId="8" numFmtId="165" xfId="0" applyAlignment="1" applyBorder="1" applyFill="1" applyFont="1" applyNumberFormat="1">
      <alignment horizontal="right"/>
    </xf>
    <xf borderId="0" fillId="0" fontId="3" numFmtId="0" xfId="0" applyFont="1"/>
    <xf borderId="4" fillId="0" fontId="3" numFmtId="165" xfId="0" applyBorder="1" applyFont="1" applyNumberFormat="1"/>
    <xf borderId="4" fillId="11" fontId="3" numFmtId="165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Resultado Acumulado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'Projeção'!$K$2</c:f>
            </c:strRef>
          </c:tx>
          <c:spPr>
            <a:ln cmpd="sng">
              <a:solidFill>
                <a:srgbClr val="1D4ED8"/>
              </a:solidFill>
            </a:ln>
          </c:spPr>
          <c:marker>
            <c:symbol val="none"/>
          </c:marker>
          <c:cat>
            <c:strRef>
              <c:f>'Projeção'!$A$3:$A$26</c:f>
            </c:strRef>
          </c:cat>
          <c:val>
            <c:numRef>
              <c:f>'Projeção'!$K$3:$K$26</c:f>
              <c:numCache/>
            </c:numRef>
          </c:val>
          <c:smooth val="0"/>
        </c:ser>
        <c:axId val="686941273"/>
        <c:axId val="1314951144"/>
      </c:lineChart>
      <c:catAx>
        <c:axId val="686941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951144"/>
      </c:catAx>
      <c:valAx>
        <c:axId val="1314951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69412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0</xdr:rowOff>
    </xdr:from>
    <xdr:ext cx="8639175" cy="4676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>
        <v>0.0</v>
      </c>
    </row>
    <row r="4">
      <c r="A4" s="4" t="s">
        <v>4</v>
      </c>
      <c r="B4" s="5">
        <v>30.0</v>
      </c>
    </row>
    <row r="5">
      <c r="A5" s="4" t="s">
        <v>5</v>
      </c>
      <c r="B5" s="5">
        <v>3.0</v>
      </c>
    </row>
    <row r="6">
      <c r="A6" s="6"/>
      <c r="B6" s="7"/>
    </row>
    <row r="7">
      <c r="A7" s="6"/>
      <c r="B7" s="7"/>
    </row>
    <row r="8">
      <c r="A8" s="6"/>
      <c r="B8" s="7"/>
    </row>
    <row r="9">
      <c r="A9" s="6"/>
      <c r="B9" s="7"/>
    </row>
    <row r="10">
      <c r="A10" s="6"/>
      <c r="B10" s="7"/>
    </row>
    <row r="11">
      <c r="A11" s="6"/>
      <c r="B11" s="7"/>
    </row>
    <row r="12">
      <c r="A12" s="6"/>
      <c r="B12" s="7"/>
    </row>
    <row r="13">
      <c r="A13" s="6"/>
      <c r="B13" s="7"/>
    </row>
    <row r="14">
      <c r="A14" s="6"/>
      <c r="B14" s="7"/>
    </row>
    <row r="15">
      <c r="A15" s="6"/>
      <c r="B15" s="7"/>
    </row>
    <row r="16">
      <c r="A16" s="6"/>
      <c r="B16" s="7"/>
    </row>
    <row r="17">
      <c r="A17" s="6"/>
      <c r="B17" s="7"/>
    </row>
    <row r="18">
      <c r="A18" s="6"/>
      <c r="B18" s="7"/>
    </row>
    <row r="19">
      <c r="A19" s="6"/>
      <c r="B19" s="7"/>
    </row>
    <row r="20">
      <c r="A20" s="6"/>
      <c r="B20" s="7"/>
    </row>
    <row r="21">
      <c r="A21" s="6"/>
      <c r="B21" s="7"/>
    </row>
    <row r="22">
      <c r="A22" s="6"/>
      <c r="B22" s="7"/>
    </row>
    <row r="23">
      <c r="A23" s="6"/>
      <c r="B23" s="7"/>
    </row>
    <row r="24">
      <c r="A24" s="6"/>
      <c r="B24" s="7"/>
    </row>
    <row r="25">
      <c r="A25" s="6"/>
      <c r="B25" s="7"/>
    </row>
    <row r="26">
      <c r="A26" s="6"/>
      <c r="B26" s="7"/>
    </row>
    <row r="27">
      <c r="A27" s="6"/>
      <c r="B27" s="7"/>
    </row>
    <row r="28">
      <c r="A28" s="6"/>
      <c r="B28" s="7"/>
    </row>
    <row r="29">
      <c r="A29" s="6"/>
      <c r="B29" s="7"/>
    </row>
    <row r="30">
      <c r="A30" s="6"/>
      <c r="B30" s="7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26" width="8.71"/>
  </cols>
  <sheetData>
    <row r="1">
      <c r="A1" s="8" t="s">
        <v>6</v>
      </c>
    </row>
    <row r="2">
      <c r="A2" s="9" t="s">
        <v>7</v>
      </c>
      <c r="B2" s="9" t="s">
        <v>8</v>
      </c>
    </row>
    <row r="3">
      <c r="A3" s="10" t="s">
        <v>9</v>
      </c>
      <c r="B3" s="11">
        <v>5.0</v>
      </c>
    </row>
    <row r="4">
      <c r="A4" s="10" t="s">
        <v>10</v>
      </c>
      <c r="B4" s="12">
        <v>10.0</v>
      </c>
    </row>
    <row r="5">
      <c r="A5" s="10" t="s">
        <v>11</v>
      </c>
      <c r="B5" s="13">
        <v>0.07</v>
      </c>
    </row>
    <row r="6">
      <c r="A6" s="10" t="s">
        <v>12</v>
      </c>
      <c r="B6" s="12">
        <f>SUM(Fixos!$B$3:$B$30)</f>
        <v>33</v>
      </c>
    </row>
    <row r="7">
      <c r="A7" s="14" t="s">
        <v>13</v>
      </c>
      <c r="B7" s="13">
        <v>0.2</v>
      </c>
    </row>
    <row r="8">
      <c r="A8" s="15"/>
      <c r="B8" s="15"/>
    </row>
    <row r="9">
      <c r="A9" s="15" t="s">
        <v>14</v>
      </c>
    </row>
    <row r="10">
      <c r="A10" s="9" t="s">
        <v>15</v>
      </c>
      <c r="B10" s="9" t="s">
        <v>2</v>
      </c>
    </row>
    <row r="11">
      <c r="A11" s="14" t="s">
        <v>16</v>
      </c>
      <c r="B11" s="12">
        <v>0.8</v>
      </c>
    </row>
    <row r="12">
      <c r="A12" s="10" t="s">
        <v>17</v>
      </c>
      <c r="B12" s="11">
        <f>B3-B11</f>
        <v>4.2</v>
      </c>
    </row>
    <row r="13">
      <c r="A13" s="10" t="s">
        <v>18</v>
      </c>
      <c r="B13" s="16">
        <f> 100% - (B11/B3)</f>
        <v>0.84</v>
      </c>
    </row>
    <row r="14">
      <c r="A14" s="10" t="s">
        <v>19</v>
      </c>
      <c r="B14" s="11">
        <f>B3/B5</f>
        <v>71.42857143</v>
      </c>
    </row>
    <row r="15">
      <c r="A15" s="10" t="s">
        <v>20</v>
      </c>
      <c r="B15" s="17">
        <f>(B3/B5)/B4</f>
        <v>7.142857143</v>
      </c>
    </row>
    <row r="16">
      <c r="A16" s="10" t="s">
        <v>21</v>
      </c>
      <c r="B16" s="18">
        <f>B4/B3</f>
        <v>2</v>
      </c>
    </row>
    <row r="17">
      <c r="A17" s="10" t="s">
        <v>22</v>
      </c>
      <c r="B17" s="19">
        <f>B6/(B3-(B3*0.15))</f>
        <v>7.764705882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B1"/>
    <mergeCell ref="A9:B9"/>
  </mergeCell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3" width="10.0"/>
    <col customWidth="1" min="4" max="8" width="14.0"/>
    <col customWidth="1" min="9" max="9" width="16.0"/>
    <col customWidth="1" min="10" max="10" width="14.0"/>
    <col customWidth="1" min="11" max="11" width="16.0"/>
    <col customWidth="1" min="12" max="26" width="8.71"/>
  </cols>
  <sheetData>
    <row r="1">
      <c r="A1" s="20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2"/>
    </row>
    <row r="2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23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</row>
    <row r="3">
      <c r="A3" s="24">
        <v>6.0</v>
      </c>
      <c r="B3" s="19">
        <f>F3/Premissas!$B$4</f>
        <v>50</v>
      </c>
      <c r="C3" s="25">
        <v>0.0</v>
      </c>
      <c r="D3" s="19">
        <f>B3-C3</f>
        <v>50</v>
      </c>
      <c r="E3" s="11">
        <f>D3*Premissas!$B$3</f>
        <v>250</v>
      </c>
      <c r="F3" s="26">
        <v>500.0</v>
      </c>
      <c r="G3" s="27">
        <f>Premissas!$B$6</f>
        <v>33</v>
      </c>
      <c r="H3" s="27">
        <f>E3*(Premissas!$B$11/Premissas!$B$3)</f>
        <v>40</v>
      </c>
      <c r="I3" s="28">
        <f t="shared" ref="I3:I26" si="1">F3+G3+H3</f>
        <v>573</v>
      </c>
      <c r="J3" s="29">
        <f t="shared" ref="J3:J26" si="2">E3-I3</f>
        <v>-323</v>
      </c>
      <c r="K3" s="30">
        <f>J3</f>
        <v>-323</v>
      </c>
    </row>
    <row r="4">
      <c r="A4" s="24">
        <v>7.0</v>
      </c>
      <c r="B4" s="19">
        <f>ROUND(D3*Premissas!$B$7*0.6,0) + (F4/Premissas!$B$4)</f>
        <v>56</v>
      </c>
      <c r="C4" s="19">
        <f>ROUND(D3*Premissas!$B$5*0.6,0)</f>
        <v>2</v>
      </c>
      <c r="D4" s="19">
        <f t="shared" ref="D4:D26" si="3">D3+B4-C4</f>
        <v>104</v>
      </c>
      <c r="E4" s="11">
        <f>D4*Premissas!$B$3</f>
        <v>520</v>
      </c>
      <c r="F4" s="26">
        <v>500.0</v>
      </c>
      <c r="G4" s="27">
        <f>Premissas!$B$6</f>
        <v>33</v>
      </c>
      <c r="H4" s="27">
        <f>E4*(Premissas!$B$11/Premissas!$B$3)</f>
        <v>83.2</v>
      </c>
      <c r="I4" s="28">
        <f t="shared" si="1"/>
        <v>616.2</v>
      </c>
      <c r="J4" s="29">
        <f t="shared" si="2"/>
        <v>-96.2</v>
      </c>
      <c r="K4" s="30">
        <f t="shared" ref="K4:K26" si="4">K3+J4</f>
        <v>-419.2</v>
      </c>
    </row>
    <row r="5">
      <c r="A5" s="24">
        <v>8.0</v>
      </c>
      <c r="B5" s="19">
        <f>ROUND(D4*Premissas!$B$7*0.6,0) + (F5/Premissas!$B$4)</f>
        <v>62</v>
      </c>
      <c r="C5" s="19">
        <f>ROUND(D4*Premissas!$B$5*0.6,0)</f>
        <v>4</v>
      </c>
      <c r="D5" s="19">
        <f t="shared" si="3"/>
        <v>162</v>
      </c>
      <c r="E5" s="11">
        <f>D5*Premissas!$B$3</f>
        <v>810</v>
      </c>
      <c r="F5" s="26">
        <v>500.0</v>
      </c>
      <c r="G5" s="27">
        <f>Premissas!$B$6</f>
        <v>33</v>
      </c>
      <c r="H5" s="27">
        <f>E5*(Premissas!$B$11/Premissas!$B$3)</f>
        <v>129.6</v>
      </c>
      <c r="I5" s="28">
        <f t="shared" si="1"/>
        <v>662.6</v>
      </c>
      <c r="J5" s="29">
        <f t="shared" si="2"/>
        <v>147.4</v>
      </c>
      <c r="K5" s="30">
        <f t="shared" si="4"/>
        <v>-271.8</v>
      </c>
    </row>
    <row r="6">
      <c r="A6" s="24">
        <v>9.0</v>
      </c>
      <c r="B6" s="19">
        <f>ROUND(D5*Premissas!$B$7*0.6,0) + (F6/Premissas!$B$4)</f>
        <v>69</v>
      </c>
      <c r="C6" s="19">
        <f>ROUND(D5*Premissas!$B$5*0.6,0)</f>
        <v>7</v>
      </c>
      <c r="D6" s="19">
        <f t="shared" si="3"/>
        <v>224</v>
      </c>
      <c r="E6" s="11">
        <f>D6*Premissas!$B$3</f>
        <v>1120</v>
      </c>
      <c r="F6" s="26">
        <v>500.0</v>
      </c>
      <c r="G6" s="27">
        <f>Premissas!$B$6</f>
        <v>33</v>
      </c>
      <c r="H6" s="27">
        <f>E6*(Premissas!$B$11/Premissas!$B$3)</f>
        <v>179.2</v>
      </c>
      <c r="I6" s="28">
        <f t="shared" si="1"/>
        <v>712.2</v>
      </c>
      <c r="J6" s="29">
        <f t="shared" si="2"/>
        <v>407.8</v>
      </c>
      <c r="K6" s="30">
        <f t="shared" si="4"/>
        <v>136</v>
      </c>
    </row>
    <row r="7">
      <c r="A7" s="24">
        <v>10.0</v>
      </c>
      <c r="B7" s="19">
        <f>ROUND(D6*Premissas!$B$7*0.6,0) + (F7/Premissas!$B$4)</f>
        <v>77</v>
      </c>
      <c r="C7" s="19">
        <f>ROUND(D6*Premissas!$B$5*0.6,0)</f>
        <v>9</v>
      </c>
      <c r="D7" s="19">
        <f t="shared" si="3"/>
        <v>292</v>
      </c>
      <c r="E7" s="11">
        <f>D7*Premissas!$B$3</f>
        <v>1460</v>
      </c>
      <c r="F7" s="26">
        <v>500.0</v>
      </c>
      <c r="G7" s="27">
        <f>Premissas!$B$6</f>
        <v>33</v>
      </c>
      <c r="H7" s="27">
        <f>E7*(Premissas!$B$11/Premissas!$B$3)</f>
        <v>233.6</v>
      </c>
      <c r="I7" s="28">
        <f t="shared" si="1"/>
        <v>766.6</v>
      </c>
      <c r="J7" s="29">
        <f t="shared" si="2"/>
        <v>693.4</v>
      </c>
      <c r="K7" s="30">
        <f t="shared" si="4"/>
        <v>829.4</v>
      </c>
    </row>
    <row r="8">
      <c r="A8" s="24">
        <v>11.0</v>
      </c>
      <c r="B8" s="19">
        <f>ROUND(D7*Premissas!$B$7*0.6,0) + (F8/Premissas!$B$4)</f>
        <v>135</v>
      </c>
      <c r="C8" s="19">
        <f>ROUND(D7*Premissas!$B$5*0.6,0)</f>
        <v>12</v>
      </c>
      <c r="D8" s="19">
        <f t="shared" si="3"/>
        <v>415</v>
      </c>
      <c r="E8" s="11">
        <f>D8*Premissas!$B$3</f>
        <v>2075</v>
      </c>
      <c r="F8" s="26">
        <v>1000.0</v>
      </c>
      <c r="G8" s="27">
        <f>Premissas!$B$6</f>
        <v>33</v>
      </c>
      <c r="H8" s="27">
        <f>E8*(Premissas!$B$11/Premissas!$B$3)</f>
        <v>332</v>
      </c>
      <c r="I8" s="28">
        <f t="shared" si="1"/>
        <v>1365</v>
      </c>
      <c r="J8" s="29">
        <f t="shared" si="2"/>
        <v>710</v>
      </c>
      <c r="K8" s="30">
        <f t="shared" si="4"/>
        <v>1539.4</v>
      </c>
    </row>
    <row r="9">
      <c r="A9" s="24">
        <v>12.0</v>
      </c>
      <c r="B9" s="19">
        <f>ROUND(D8*Premissas!$B$7*0.6,0) + (F9/Premissas!$B$4)</f>
        <v>150</v>
      </c>
      <c r="C9" s="19">
        <f>ROUND(D8*Premissas!$B$5*0.6,0)</f>
        <v>17</v>
      </c>
      <c r="D9" s="19">
        <f t="shared" si="3"/>
        <v>548</v>
      </c>
      <c r="E9" s="11">
        <f>D9*Premissas!$B$3</f>
        <v>2740</v>
      </c>
      <c r="F9" s="26">
        <v>1000.0</v>
      </c>
      <c r="G9" s="27">
        <f>Premissas!$B$6</f>
        <v>33</v>
      </c>
      <c r="H9" s="27">
        <f>E9*(Premissas!$B$11/Premissas!$B$3)</f>
        <v>438.4</v>
      </c>
      <c r="I9" s="28">
        <f t="shared" si="1"/>
        <v>1471.4</v>
      </c>
      <c r="J9" s="29">
        <f t="shared" si="2"/>
        <v>1268.6</v>
      </c>
      <c r="K9" s="30">
        <f t="shared" si="4"/>
        <v>2808</v>
      </c>
    </row>
    <row r="10">
      <c r="A10" s="24">
        <v>1.0</v>
      </c>
      <c r="B10" s="19">
        <f>ROUND(D9*Premissas!$B$7*0.6,0) + (F10/Premissas!$B$4)</f>
        <v>166</v>
      </c>
      <c r="C10" s="19">
        <f>ROUND(D9*Premissas!$B$5*0.6,0)</f>
        <v>23</v>
      </c>
      <c r="D10" s="19">
        <f t="shared" si="3"/>
        <v>691</v>
      </c>
      <c r="E10" s="11">
        <f>D10*Premissas!$B$3</f>
        <v>3455</v>
      </c>
      <c r="F10" s="26">
        <v>1000.0</v>
      </c>
      <c r="G10" s="27">
        <f>Premissas!$B$6</f>
        <v>33</v>
      </c>
      <c r="H10" s="27">
        <f>E10*(Premissas!$B$11/Premissas!$B$3)</f>
        <v>552.8</v>
      </c>
      <c r="I10" s="28">
        <f t="shared" si="1"/>
        <v>1585.8</v>
      </c>
      <c r="J10" s="29">
        <f t="shared" si="2"/>
        <v>1869.2</v>
      </c>
      <c r="K10" s="30">
        <f t="shared" si="4"/>
        <v>4677.2</v>
      </c>
    </row>
    <row r="11">
      <c r="A11" s="24">
        <v>2.0</v>
      </c>
      <c r="B11" s="19">
        <f>ROUND(D10*Premissas!$B$7*0.6,0) + (F11/Premissas!$B$4)</f>
        <v>183</v>
      </c>
      <c r="C11" s="19">
        <f>ROUND(D10*Premissas!$B$5*0.6,0)</f>
        <v>29</v>
      </c>
      <c r="D11" s="19">
        <f t="shared" si="3"/>
        <v>845</v>
      </c>
      <c r="E11" s="11">
        <f>D11*Premissas!$B$3</f>
        <v>4225</v>
      </c>
      <c r="F11" s="26">
        <v>1000.0</v>
      </c>
      <c r="G11" s="27">
        <f>Premissas!$B$6</f>
        <v>33</v>
      </c>
      <c r="H11" s="27">
        <f>E11*(Premissas!$B$11/Premissas!$B$3)</f>
        <v>676</v>
      </c>
      <c r="I11" s="28">
        <f t="shared" si="1"/>
        <v>1709</v>
      </c>
      <c r="J11" s="29">
        <f t="shared" si="2"/>
        <v>2516</v>
      </c>
      <c r="K11" s="30">
        <f t="shared" si="4"/>
        <v>7193.2</v>
      </c>
    </row>
    <row r="12">
      <c r="A12" s="24">
        <v>3.0</v>
      </c>
      <c r="B12" s="19">
        <f>ROUND(D11*Premissas!$B$7*0.6,0) + (F12/Premissas!$B$4)</f>
        <v>301</v>
      </c>
      <c r="C12" s="19">
        <f>ROUND(D11*Premissas!$B$5*0.6,0)</f>
        <v>35</v>
      </c>
      <c r="D12" s="19">
        <f t="shared" si="3"/>
        <v>1111</v>
      </c>
      <c r="E12" s="11">
        <f>D12*Premissas!$B$3</f>
        <v>5555</v>
      </c>
      <c r="F12" s="26">
        <v>2000.0</v>
      </c>
      <c r="G12" s="27">
        <f>Premissas!$B$6</f>
        <v>33</v>
      </c>
      <c r="H12" s="27">
        <f>E12*(Premissas!$B$11/Premissas!$B$3)</f>
        <v>888.8</v>
      </c>
      <c r="I12" s="28">
        <f t="shared" si="1"/>
        <v>2921.8</v>
      </c>
      <c r="J12" s="29">
        <f t="shared" si="2"/>
        <v>2633.2</v>
      </c>
      <c r="K12" s="30">
        <f t="shared" si="4"/>
        <v>9826.4</v>
      </c>
    </row>
    <row r="13">
      <c r="A13" s="24">
        <v>4.0</v>
      </c>
      <c r="B13" s="19">
        <f>ROUND(D12*Premissas!$B$7*0.6,0) + (F13/Premissas!$B$4)</f>
        <v>333</v>
      </c>
      <c r="C13" s="19">
        <f>ROUND(D12*Premissas!$B$5*0.6,0)</f>
        <v>47</v>
      </c>
      <c r="D13" s="19">
        <f t="shared" si="3"/>
        <v>1397</v>
      </c>
      <c r="E13" s="11">
        <f>D13*Premissas!$B$3</f>
        <v>6985</v>
      </c>
      <c r="F13" s="26">
        <v>2000.0</v>
      </c>
      <c r="G13" s="27">
        <f>Premissas!$B$6</f>
        <v>33</v>
      </c>
      <c r="H13" s="27">
        <f>E13*(Premissas!$B$11/Premissas!$B$3)</f>
        <v>1117.6</v>
      </c>
      <c r="I13" s="28">
        <f t="shared" si="1"/>
        <v>3150.6</v>
      </c>
      <c r="J13" s="29">
        <f t="shared" si="2"/>
        <v>3834.4</v>
      </c>
      <c r="K13" s="30">
        <f t="shared" si="4"/>
        <v>13660.8</v>
      </c>
    </row>
    <row r="14">
      <c r="A14" s="24">
        <v>5.0</v>
      </c>
      <c r="B14" s="19">
        <f>ROUND(D13*Premissas!$B$7*0.6,0) + (F14/Premissas!$B$4)</f>
        <v>368</v>
      </c>
      <c r="C14" s="19">
        <f>ROUND(D13*Premissas!$B$5*0.6,0)</f>
        <v>59</v>
      </c>
      <c r="D14" s="19">
        <f t="shared" si="3"/>
        <v>1706</v>
      </c>
      <c r="E14" s="11">
        <f>D14*Premissas!$B$3</f>
        <v>8530</v>
      </c>
      <c r="F14" s="26">
        <v>2000.0</v>
      </c>
      <c r="G14" s="27">
        <f>Premissas!$B$6</f>
        <v>33</v>
      </c>
      <c r="H14" s="27">
        <f>E14*(Premissas!$B$11/Premissas!$B$3)</f>
        <v>1364.8</v>
      </c>
      <c r="I14" s="28">
        <f t="shared" si="1"/>
        <v>3397.8</v>
      </c>
      <c r="J14" s="29">
        <f t="shared" si="2"/>
        <v>5132.2</v>
      </c>
      <c r="K14" s="30">
        <f t="shared" si="4"/>
        <v>18793</v>
      </c>
    </row>
    <row r="15">
      <c r="A15" s="24">
        <v>6.0</v>
      </c>
      <c r="B15" s="19">
        <f>ROUND(D14*Premissas!$B$7*0.6,0) + (F15/Premissas!$B$4)</f>
        <v>405</v>
      </c>
      <c r="C15" s="19">
        <f>ROUND(D14*Premissas!$B$5*0.6,0)</f>
        <v>72</v>
      </c>
      <c r="D15" s="19">
        <f t="shared" si="3"/>
        <v>2039</v>
      </c>
      <c r="E15" s="11">
        <f>D15*Premissas!$B$3</f>
        <v>10195</v>
      </c>
      <c r="F15" s="26">
        <v>2000.0</v>
      </c>
      <c r="G15" s="27">
        <f>Premissas!$B$6</f>
        <v>33</v>
      </c>
      <c r="H15" s="27">
        <f>E15*(Premissas!$B$11/Premissas!$B$3)</f>
        <v>1631.2</v>
      </c>
      <c r="I15" s="28">
        <f t="shared" si="1"/>
        <v>3664.2</v>
      </c>
      <c r="J15" s="29">
        <f t="shared" si="2"/>
        <v>6530.8</v>
      </c>
      <c r="K15" s="30">
        <f t="shared" si="4"/>
        <v>25323.8</v>
      </c>
    </row>
    <row r="16">
      <c r="A16" s="24">
        <v>7.0</v>
      </c>
      <c r="B16" s="19">
        <f>ROUND(D15*Premissas!$B$7*0.6,0) + (F16/Premissas!$B$4)</f>
        <v>545</v>
      </c>
      <c r="C16" s="19">
        <f>ROUND(D15*Premissas!$B$5*0.6,0)</f>
        <v>86</v>
      </c>
      <c r="D16" s="19">
        <f t="shared" si="3"/>
        <v>2498</v>
      </c>
      <c r="E16" s="11">
        <f>D16*Premissas!$B$3</f>
        <v>12490</v>
      </c>
      <c r="F16" s="26">
        <v>3000.0</v>
      </c>
      <c r="G16" s="27">
        <f>Premissas!$B$6</f>
        <v>33</v>
      </c>
      <c r="H16" s="27">
        <f>E16*(Premissas!$B$11/Premissas!$B$3)</f>
        <v>1998.4</v>
      </c>
      <c r="I16" s="28">
        <f t="shared" si="1"/>
        <v>5031.4</v>
      </c>
      <c r="J16" s="29">
        <f t="shared" si="2"/>
        <v>7458.6</v>
      </c>
      <c r="K16" s="30">
        <f t="shared" si="4"/>
        <v>32782.4</v>
      </c>
    </row>
    <row r="17">
      <c r="A17" s="24">
        <v>8.0</v>
      </c>
      <c r="B17" s="19">
        <f>ROUND(D16*Premissas!$B$7*0.6,0) + (F17/Premissas!$B$4)</f>
        <v>600</v>
      </c>
      <c r="C17" s="19">
        <f>ROUND(D16*Premissas!$B$5*0.6,0)</f>
        <v>105</v>
      </c>
      <c r="D17" s="19">
        <f t="shared" si="3"/>
        <v>2993</v>
      </c>
      <c r="E17" s="11">
        <f>D17*Premissas!$B$3</f>
        <v>14965</v>
      </c>
      <c r="F17" s="26">
        <v>3000.0</v>
      </c>
      <c r="G17" s="27">
        <f>Premissas!$B$6</f>
        <v>33</v>
      </c>
      <c r="H17" s="27">
        <f>E17*(Premissas!$B$11/Premissas!$B$3)</f>
        <v>2394.4</v>
      </c>
      <c r="I17" s="28">
        <f t="shared" si="1"/>
        <v>5427.4</v>
      </c>
      <c r="J17" s="29">
        <f t="shared" si="2"/>
        <v>9537.6</v>
      </c>
      <c r="K17" s="30">
        <f t="shared" si="4"/>
        <v>42320</v>
      </c>
    </row>
    <row r="18">
      <c r="A18" s="24">
        <v>9.0</v>
      </c>
      <c r="B18" s="19">
        <f>ROUND(D17*Premissas!$B$7*0.6,0) + (F18/Premissas!$B$4)</f>
        <v>759</v>
      </c>
      <c r="C18" s="19">
        <f>ROUND(D17*Premissas!$B$5*0.6,0)</f>
        <v>126</v>
      </c>
      <c r="D18" s="19">
        <f t="shared" si="3"/>
        <v>3626</v>
      </c>
      <c r="E18" s="11">
        <f>D18*Premissas!$B$3</f>
        <v>18130</v>
      </c>
      <c r="F18" s="26">
        <v>4000.0</v>
      </c>
      <c r="G18" s="27">
        <f>Premissas!$B$6</f>
        <v>33</v>
      </c>
      <c r="H18" s="27">
        <f>E18*(Premissas!$B$11/Premissas!$B$3)</f>
        <v>2900.8</v>
      </c>
      <c r="I18" s="28">
        <f t="shared" si="1"/>
        <v>6933.8</v>
      </c>
      <c r="J18" s="29">
        <f t="shared" si="2"/>
        <v>11196.2</v>
      </c>
      <c r="K18" s="30">
        <f t="shared" si="4"/>
        <v>53516.2</v>
      </c>
    </row>
    <row r="19">
      <c r="A19" s="24">
        <v>10.0</v>
      </c>
      <c r="B19" s="19">
        <f>ROUND(D18*Premissas!$B$7*0.6,0) + (F19/Premissas!$B$4)</f>
        <v>835</v>
      </c>
      <c r="C19" s="19">
        <f>ROUND(D18*Premissas!$B$5*0.6,0)</f>
        <v>152</v>
      </c>
      <c r="D19" s="19">
        <f t="shared" si="3"/>
        <v>4309</v>
      </c>
      <c r="E19" s="11">
        <f>D19*Premissas!$B$3</f>
        <v>21545</v>
      </c>
      <c r="F19" s="26">
        <v>4000.0</v>
      </c>
      <c r="G19" s="27">
        <f>Premissas!$B$6</f>
        <v>33</v>
      </c>
      <c r="H19" s="27">
        <f>E19*(Premissas!$B$11/Premissas!$B$3)</f>
        <v>3447.2</v>
      </c>
      <c r="I19" s="28">
        <f t="shared" si="1"/>
        <v>7480.2</v>
      </c>
      <c r="J19" s="29">
        <f t="shared" si="2"/>
        <v>14064.8</v>
      </c>
      <c r="K19" s="30">
        <f t="shared" si="4"/>
        <v>67581</v>
      </c>
    </row>
    <row r="20" ht="15.75" customHeight="1">
      <c r="A20" s="24">
        <v>11.0</v>
      </c>
      <c r="B20" s="19">
        <f>ROUND(D19*Premissas!$B$7*0.6,0) + (F20/Premissas!$B$4)</f>
        <v>917</v>
      </c>
      <c r="C20" s="19">
        <f>ROUND(D19*Premissas!$B$5*0.6,0)</f>
        <v>181</v>
      </c>
      <c r="D20" s="19">
        <f t="shared" si="3"/>
        <v>5045</v>
      </c>
      <c r="E20" s="11">
        <f>D20*Premissas!$B$3</f>
        <v>25225</v>
      </c>
      <c r="F20" s="26">
        <v>4000.0</v>
      </c>
      <c r="G20" s="27">
        <f>Premissas!$B$6</f>
        <v>33</v>
      </c>
      <c r="H20" s="27">
        <f>E20*(Premissas!$B$11/Premissas!$B$3)</f>
        <v>4036</v>
      </c>
      <c r="I20" s="28">
        <f t="shared" si="1"/>
        <v>8069</v>
      </c>
      <c r="J20" s="29">
        <f t="shared" si="2"/>
        <v>17156</v>
      </c>
      <c r="K20" s="30">
        <f t="shared" si="4"/>
        <v>84737</v>
      </c>
    </row>
    <row r="21" ht="15.75" customHeight="1">
      <c r="A21" s="24">
        <v>12.0</v>
      </c>
      <c r="B21" s="19">
        <f>ROUND(D20*Premissas!$B$7*0.6,0) + (F21/Premissas!$B$4)</f>
        <v>1005</v>
      </c>
      <c r="C21" s="19">
        <f>ROUND(D20*Premissas!$B$5*0.6,0)</f>
        <v>212</v>
      </c>
      <c r="D21" s="19">
        <f t="shared" si="3"/>
        <v>5838</v>
      </c>
      <c r="E21" s="11">
        <f>D21*Premissas!$B$3</f>
        <v>29190</v>
      </c>
      <c r="F21" s="26">
        <v>4000.0</v>
      </c>
      <c r="G21" s="27">
        <f>Premissas!$B$6</f>
        <v>33</v>
      </c>
      <c r="H21" s="27">
        <f>E21*(Premissas!$B$11/Premissas!$B$3)</f>
        <v>4670.4</v>
      </c>
      <c r="I21" s="28">
        <f t="shared" si="1"/>
        <v>8703.4</v>
      </c>
      <c r="J21" s="29">
        <f t="shared" si="2"/>
        <v>20486.6</v>
      </c>
      <c r="K21" s="30">
        <f t="shared" si="4"/>
        <v>105223.6</v>
      </c>
    </row>
    <row r="22" ht="15.75" customHeight="1">
      <c r="A22" s="24"/>
      <c r="B22" s="19">
        <f>ROUND(D21*Premissas!$B$7*0.6,0) + (F22/Premissas!$B$4)</f>
        <v>1101</v>
      </c>
      <c r="C22" s="19">
        <f>ROUND(D21*Premissas!$B$5*0.6,0)</f>
        <v>245</v>
      </c>
      <c r="D22" s="19">
        <f t="shared" si="3"/>
        <v>6694</v>
      </c>
      <c r="E22" s="11">
        <f>D22*Premissas!$B$3</f>
        <v>33470</v>
      </c>
      <c r="F22" s="26">
        <v>4000.0</v>
      </c>
      <c r="G22" s="27">
        <f>Premissas!$B$6</f>
        <v>33</v>
      </c>
      <c r="H22" s="27">
        <f>E22*(Premissas!$B$11/Premissas!$B$3)</f>
        <v>5355.2</v>
      </c>
      <c r="I22" s="28">
        <f t="shared" si="1"/>
        <v>9388.2</v>
      </c>
      <c r="J22" s="29">
        <f t="shared" si="2"/>
        <v>24081.8</v>
      </c>
      <c r="K22" s="30">
        <f t="shared" si="4"/>
        <v>129305.4</v>
      </c>
    </row>
    <row r="23" ht="15.75" customHeight="1">
      <c r="A23" s="24"/>
      <c r="B23" s="19">
        <f>ROUND(D22*Premissas!$B$7*0.6,0) + (F23/Premissas!$B$4)</f>
        <v>1203</v>
      </c>
      <c r="C23" s="19">
        <f>ROUND(D22*Premissas!$B$5*0.6,0)</f>
        <v>281</v>
      </c>
      <c r="D23" s="19">
        <f t="shared" si="3"/>
        <v>7616</v>
      </c>
      <c r="E23" s="11">
        <f>D23*Premissas!$B$3</f>
        <v>38080</v>
      </c>
      <c r="F23" s="26">
        <v>4000.0</v>
      </c>
      <c r="G23" s="27">
        <f>Premissas!$B$6</f>
        <v>33</v>
      </c>
      <c r="H23" s="27">
        <f>E23*(Premissas!$B$11/Premissas!$B$3)</f>
        <v>6092.8</v>
      </c>
      <c r="I23" s="28">
        <f t="shared" si="1"/>
        <v>10125.8</v>
      </c>
      <c r="J23" s="29">
        <f t="shared" si="2"/>
        <v>27954.2</v>
      </c>
      <c r="K23" s="30">
        <f t="shared" si="4"/>
        <v>157259.6</v>
      </c>
    </row>
    <row r="24" ht="15.75" customHeight="1">
      <c r="A24" s="24"/>
      <c r="B24" s="19">
        <f>ROUND(D23*Premissas!$B$7*0.6,0) + (F24/Premissas!$B$4)</f>
        <v>1314</v>
      </c>
      <c r="C24" s="19">
        <f>ROUND(D23*Premissas!$B$5*0.6,0)</f>
        <v>320</v>
      </c>
      <c r="D24" s="19">
        <f t="shared" si="3"/>
        <v>8610</v>
      </c>
      <c r="E24" s="11">
        <f>D24*Premissas!$B$3</f>
        <v>43050</v>
      </c>
      <c r="F24" s="26">
        <v>4000.0</v>
      </c>
      <c r="G24" s="27">
        <f>Premissas!$B$6</f>
        <v>33</v>
      </c>
      <c r="H24" s="27">
        <f>E24*(Premissas!$B$11/Premissas!$B$3)</f>
        <v>6888</v>
      </c>
      <c r="I24" s="28">
        <f t="shared" si="1"/>
        <v>10921</v>
      </c>
      <c r="J24" s="29">
        <f t="shared" si="2"/>
        <v>32129</v>
      </c>
      <c r="K24" s="30">
        <f t="shared" si="4"/>
        <v>189388.6</v>
      </c>
    </row>
    <row r="25" ht="15.75" customHeight="1">
      <c r="A25" s="24"/>
      <c r="B25" s="19">
        <f>ROUND(D24*Premissas!$B$7*0.6,0) + (F25/Premissas!$B$4)</f>
        <v>1433</v>
      </c>
      <c r="C25" s="19">
        <f>ROUND(D24*Premissas!$B$5*0.6,0)</f>
        <v>362</v>
      </c>
      <c r="D25" s="19">
        <f t="shared" si="3"/>
        <v>9681</v>
      </c>
      <c r="E25" s="11">
        <f>D25*Premissas!$B$3</f>
        <v>48405</v>
      </c>
      <c r="F25" s="26">
        <v>4000.0</v>
      </c>
      <c r="G25" s="27">
        <f>Premissas!$B$6</f>
        <v>33</v>
      </c>
      <c r="H25" s="27">
        <f>E25*(Premissas!$B$11/Premissas!$B$3)</f>
        <v>7744.8</v>
      </c>
      <c r="I25" s="28">
        <f t="shared" si="1"/>
        <v>11777.8</v>
      </c>
      <c r="J25" s="29">
        <f t="shared" si="2"/>
        <v>36627.2</v>
      </c>
      <c r="K25" s="30">
        <f t="shared" si="4"/>
        <v>226015.8</v>
      </c>
    </row>
    <row r="26" ht="15.75" customHeight="1">
      <c r="A26" s="24"/>
      <c r="B26" s="19">
        <f>ROUND(D25*Premissas!$B$7*0.6,0) + (F26/Premissas!$B$4)</f>
        <v>1562</v>
      </c>
      <c r="C26" s="19">
        <f>ROUND(D25*Premissas!$B$5*0.6,0)</f>
        <v>407</v>
      </c>
      <c r="D26" s="19">
        <f t="shared" si="3"/>
        <v>10836</v>
      </c>
      <c r="E26" s="11">
        <f>D26*Premissas!$B$3</f>
        <v>54180</v>
      </c>
      <c r="F26" s="26">
        <v>4000.0</v>
      </c>
      <c r="G26" s="27">
        <f>Premissas!$B$6</f>
        <v>33</v>
      </c>
      <c r="H26" s="27">
        <f>E26*(Premissas!$B$11/Premissas!$B$3)</f>
        <v>8668.8</v>
      </c>
      <c r="I26" s="28">
        <f t="shared" si="1"/>
        <v>12701.8</v>
      </c>
      <c r="J26" s="29">
        <f t="shared" si="2"/>
        <v>41478.2</v>
      </c>
      <c r="K26" s="30">
        <f t="shared" si="4"/>
        <v>267494</v>
      </c>
    </row>
    <row r="27" ht="15.75" customHeight="1">
      <c r="A27" s="31" t="s">
        <v>35</v>
      </c>
      <c r="E27" s="32">
        <f t="shared" ref="E27:J27" si="5">SUM(E3:E26)</f>
        <v>386650</v>
      </c>
      <c r="F27" s="32">
        <f t="shared" si="5"/>
        <v>56500</v>
      </c>
      <c r="G27" s="32">
        <f t="shared" si="5"/>
        <v>792</v>
      </c>
      <c r="H27" s="32">
        <f t="shared" si="5"/>
        <v>61864</v>
      </c>
      <c r="I27" s="33">
        <f t="shared" si="5"/>
        <v>119156</v>
      </c>
      <c r="J27" s="32">
        <f t="shared" si="5"/>
        <v>267494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